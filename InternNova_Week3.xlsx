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6" sheetId="1" r:id="rId5"/>
    <sheet state="visible" name="Task7" sheetId="2" r:id="rId6"/>
    <sheet state="visible" name="Task8" sheetId="3" r:id="rId7"/>
    <sheet state="visible" name="Task9" sheetId="4" r:id="rId8"/>
    <sheet state="visible" name="Pivot Table 1" sheetId="5" r:id="rId9"/>
  </sheets>
  <definedNames>
    <definedName hidden="1" localSheetId="0" name="_xlnm._FilterDatabase">Task6!$A$1:$F$11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<sst xmlns="http://schemas.openxmlformats.org/spreadsheetml/2006/main" count="141" uniqueCount="43">
  <si>
    <t>Order ID</t>
  </si>
  <si>
    <t>Product ID</t>
  </si>
  <si>
    <t>Quantity</t>
  </si>
  <si>
    <t>Product Name (VLOOKUP)</t>
  </si>
  <si>
    <t>Customer</t>
  </si>
  <si>
    <t>Category</t>
  </si>
  <si>
    <t>City</t>
  </si>
  <si>
    <t>Sales</t>
  </si>
  <si>
    <t>Product Name</t>
  </si>
  <si>
    <t>Price</t>
  </si>
  <si>
    <t>Product Name (XLOOKUP)</t>
  </si>
  <si>
    <t>Performance</t>
  </si>
  <si>
    <t>P101</t>
  </si>
  <si>
    <t>COUNTIF - Electronics</t>
  </si>
  <si>
    <t>Sneha</t>
  </si>
  <si>
    <t>Clothing</t>
  </si>
  <si>
    <t>Mumbai</t>
  </si>
  <si>
    <t>Pooja</t>
  </si>
  <si>
    <t>Furniture</t>
  </si>
  <si>
    <t>Isha</t>
  </si>
  <si>
    <t>Chennai</t>
  </si>
  <si>
    <t>Ananya</t>
  </si>
  <si>
    <t>Bengaluru</t>
  </si>
  <si>
    <t>Riya</t>
  </si>
  <si>
    <t>Laptop</t>
  </si>
  <si>
    <t>Meera</t>
  </si>
  <si>
    <t>Electronics</t>
  </si>
  <si>
    <t>Bindu</t>
  </si>
  <si>
    <t>Kiran</t>
  </si>
  <si>
    <t>Hyderabad</t>
  </si>
  <si>
    <t>Rudra</t>
  </si>
  <si>
    <t>P102</t>
  </si>
  <si>
    <t>Chair</t>
  </si>
  <si>
    <t>Varun</t>
  </si>
  <si>
    <t>P103</t>
  </si>
  <si>
    <t>Keyboard</t>
  </si>
  <si>
    <t>P104</t>
  </si>
  <si>
    <t>T-Shirt</t>
  </si>
  <si>
    <t>P105</t>
  </si>
  <si>
    <t>Headphones</t>
  </si>
  <si>
    <t>SUMIF - Electronics Sales</t>
  </si>
  <si>
    <t>SUM of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</si>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</sst>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/>
    </xf>
    <xf borderId="1" fillId="0" fontId="4" numFmtId="0" xfId="0" applyAlignment="1" applyBorder="1" applyFont="1">
      <alignment vertical="bottom"/>
    </xf>
    <xf borderId="1" fillId="0" fontId="3" numFmtId="4" xfId="0" applyAlignment="1" applyBorder="1" applyFont="1" applyNumberFormat="1">
      <alignment horizontal="right" readingOrder="0"/>
    </xf>
    <xf borderId="1" fillId="0" fontId="4" numFmtId="4" xfId="0" applyAlignment="1" applyBorder="1" applyFont="1" applyNumberFormat="1">
      <alignment horizontal="right" vertical="bottom"/>
    </xf>
    <xf borderId="0" fillId="0" fontId="3" numFmtId="0" xfId="0" applyFont="1"/>
    <xf borderId="1" fillId="0" fontId="3" numFmtId="4" xfId="0" applyAlignment="1" applyBorder="1" applyFont="1" applyNumberFormat="1">
      <alignment readingOrder="0"/>
    </xf>
    <xf borderId="0" fillId="0" fontId="3" numFmtId="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Times"/>
              </a:defRPr>
            </a:pPr>
            <a:r>
              <a:rPr b="1">
                <a:solidFill>
                  <a:srgbClr val="000000"/>
                </a:solidFill>
                <a:latin typeface="Times"/>
              </a:rPr>
              <a:t>Total Sales by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43434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axId val="1599555263"/>
        <c:axId val="571363352"/>
      </c:barChart>
      <c:catAx>
        <c:axId val="159955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363352"/>
      </c:catAx>
      <c:valAx>
        <c:axId val="571363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555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0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" sheet="Task9"/>
  </cacheSource>
  <cacheFields>
    <cacheField name="Order ID" numFmtId="0">
      <sharedItems containsSemiMixedTypes="0" containsString="0" containsNumber="1" containsInteger="1">
        <n v="1004.0"/>
        <n v="1002.0"/>
        <n v="1009.0"/>
        <n v="1006.0"/>
        <n v="1007.0"/>
        <n v="1008.0"/>
        <n v="1001.0"/>
        <n v="1005.0"/>
        <n v="1003.0"/>
        <n v="1010.0"/>
      </sharedItems>
    </cacheField>
    <cacheField name="Customer" numFmtId="0">
      <sharedItems>
        <s v="Sneha"/>
        <s v="Pooja"/>
        <s v="Isha"/>
        <s v="Ananya"/>
        <s v="Riya"/>
        <s v="Meera"/>
        <s v="Bindu"/>
        <s v="Kiran"/>
        <s v="Rudra"/>
        <s v="Varun"/>
      </sharedItems>
    </cacheField>
    <cacheField name="Category" numFmtId="0">
      <sharedItems>
        <s v="Clothing"/>
        <s v="Furniture"/>
        <s v="Electronics"/>
      </sharedItems>
    </cacheField>
    <cacheField name="City" numFmtId="0">
      <sharedItems>
        <s v="Mumbai"/>
        <s v="Chennai"/>
        <s v="Bengaluru"/>
        <s v="Hyderabad"/>
      </sharedItems>
    </cacheField>
    <cacheField name="Quantity" numFmtId="0">
      <sharedItems containsSemiMixedTypes="0" containsString="0" containsNumber="1" containsInteger="1">
        <n v="4.0"/>
        <n v="1.0"/>
        <n v="3.0"/>
        <n v="5.0"/>
        <n v="2.0"/>
      </sharedItems>
    </cacheField>
    <cacheField name="Sales" numFmtId="4">
      <sharedItems containsSemiMixedTypes="0" containsString="0" containsNumber="1" containsInteger="1">
        <n v="12000.0"/>
        <n v="15000.0"/>
        <n v="16000.0"/>
        <n v="18000.0"/>
        <n v="20000.0"/>
        <n v="22000.0"/>
        <n v="24000.0"/>
        <n v="28000.0"/>
        <n v="36000.0"/>
        <n v="50000.0"/>
      </sharedItems>
    </cacheField>
    <cacheField name="Performance" numFmtId="0">
      <sharedItems>
        <s v="Low"/>
        <s v="Hig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0"/>
        <item x="2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formanc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Sale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4</v>
      </c>
      <c r="C1" s="4" t="s">
        <v>5</v>
      </c>
      <c r="D1" s="4" t="s">
        <v>6</v>
      </c>
      <c r="E1" s="4" t="s">
        <v>2</v>
      </c>
      <c r="F1" s="4" t="s">
        <v>7</v>
      </c>
    </row>
    <row r="2">
      <c r="A2" s="8">
        <v>1004.0</v>
      </c>
      <c r="B2" s="8" t="s">
        <v>14</v>
      </c>
      <c r="C2" s="8" t="s">
        <v>15</v>
      </c>
      <c r="D2" s="8" t="s">
        <v>16</v>
      </c>
      <c r="E2" s="10">
        <v>4.0</v>
      </c>
      <c r="F2" s="12">
        <v>12000.0</v>
      </c>
    </row>
    <row r="3">
      <c r="A3" s="8">
        <v>1002.0</v>
      </c>
      <c r="B3" s="8" t="s">
        <v>17</v>
      </c>
      <c r="C3" s="8" t="s">
        <v>18</v>
      </c>
      <c r="D3" s="8" t="s">
        <v>16</v>
      </c>
      <c r="E3" s="10">
        <v>1.0</v>
      </c>
      <c r="F3" s="12">
        <v>15000.0</v>
      </c>
    </row>
    <row r="4">
      <c r="A4" s="8">
        <v>1009.0</v>
      </c>
      <c r="B4" s="8" t="s">
        <v>19</v>
      </c>
      <c r="C4" s="8" t="s">
        <v>15</v>
      </c>
      <c r="D4" s="8" t="s">
        <v>20</v>
      </c>
      <c r="E4" s="8">
        <v>3.0</v>
      </c>
      <c r="F4" s="12">
        <v>16000.0</v>
      </c>
    </row>
    <row r="5">
      <c r="A5" s="8">
        <v>1006.0</v>
      </c>
      <c r="B5" s="8" t="s">
        <v>21</v>
      </c>
      <c r="C5" s="8" t="s">
        <v>18</v>
      </c>
      <c r="D5" s="8" t="s">
        <v>22</v>
      </c>
      <c r="E5" s="10">
        <v>1.0</v>
      </c>
      <c r="F5" s="12">
        <v>18000.0</v>
      </c>
    </row>
    <row r="6">
      <c r="A6" s="8">
        <v>1007.0</v>
      </c>
      <c r="B6" s="8" t="s">
        <v>23</v>
      </c>
      <c r="C6" s="8" t="s">
        <v>15</v>
      </c>
      <c r="D6" s="8" t="s">
        <v>20</v>
      </c>
      <c r="E6" s="10">
        <v>5.0</v>
      </c>
      <c r="F6" s="12">
        <v>20000.0</v>
      </c>
    </row>
    <row r="7">
      <c r="A7" s="8">
        <v>1008.0</v>
      </c>
      <c r="B7" s="8" t="s">
        <v>25</v>
      </c>
      <c r="C7" s="8" t="s">
        <v>26</v>
      </c>
      <c r="D7" s="8" t="s">
        <v>16</v>
      </c>
      <c r="E7" s="10">
        <v>1.0</v>
      </c>
      <c r="F7" s="12">
        <v>22000.0</v>
      </c>
    </row>
    <row r="8">
      <c r="A8" s="8">
        <v>1001.0</v>
      </c>
      <c r="B8" s="8" t="s">
        <v>27</v>
      </c>
      <c r="C8" s="8" t="s">
        <v>26</v>
      </c>
      <c r="D8" s="8" t="s">
        <v>22</v>
      </c>
      <c r="E8" s="10">
        <v>2.0</v>
      </c>
      <c r="F8" s="12">
        <v>24000.0</v>
      </c>
    </row>
    <row r="9">
      <c r="A9" s="8">
        <v>1005.0</v>
      </c>
      <c r="B9" s="8" t="s">
        <v>28</v>
      </c>
      <c r="C9" s="8" t="s">
        <v>26</v>
      </c>
      <c r="D9" s="8" t="s">
        <v>29</v>
      </c>
      <c r="E9" s="10">
        <v>2.0</v>
      </c>
      <c r="F9" s="12">
        <v>28000.0</v>
      </c>
    </row>
    <row r="10">
      <c r="A10" s="8">
        <v>1003.0</v>
      </c>
      <c r="B10" s="8" t="s">
        <v>30</v>
      </c>
      <c r="C10" s="8" t="s">
        <v>26</v>
      </c>
      <c r="D10" s="8" t="s">
        <v>20</v>
      </c>
      <c r="E10" s="10">
        <v>3.0</v>
      </c>
      <c r="F10" s="15">
        <v>36000.0</v>
      </c>
    </row>
    <row r="11">
      <c r="A11" s="8">
        <v>1010.0</v>
      </c>
      <c r="B11" s="8" t="s">
        <v>33</v>
      </c>
      <c r="C11" s="8" t="s">
        <v>18</v>
      </c>
      <c r="D11" s="8" t="s">
        <v>22</v>
      </c>
      <c r="E11" s="8">
        <v>4.0</v>
      </c>
      <c r="F11" s="15">
        <v>50000.0</v>
      </c>
    </row>
  </sheetData>
  <autoFilter ref="$A$1:$F$1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5"/>
  </cols>
  <sheetData>
    <row r="1">
      <c r="A1" s="2" t="s">
        <v>0</v>
      </c>
      <c r="B1" s="2" t="s">
        <v>4</v>
      </c>
      <c r="C1" s="2" t="s">
        <v>5</v>
      </c>
      <c r="D1" s="2" t="s">
        <v>6</v>
      </c>
      <c r="E1" s="2" t="s">
        <v>2</v>
      </c>
      <c r="F1" s="2" t="s">
        <v>7</v>
      </c>
      <c r="G1" s="6" t="s">
        <v>11</v>
      </c>
      <c r="I1" s="7" t="s">
        <v>13</v>
      </c>
    </row>
    <row r="2">
      <c r="A2" s="9">
        <v>1004.0</v>
      </c>
      <c r="B2" s="11" t="s">
        <v>14</v>
      </c>
      <c r="C2" s="11" t="s">
        <v>15</v>
      </c>
      <c r="D2" s="11" t="s">
        <v>16</v>
      </c>
      <c r="E2" s="9">
        <v>4.0</v>
      </c>
      <c r="F2" s="13">
        <v>12000.0</v>
      </c>
      <c r="G2" s="14" t="str">
        <f t="shared" ref="G2:G11" si="1">IF(F2&gt;=20000,"High","Low")</f>
        <v>Low</v>
      </c>
      <c r="I2" s="14">
        <f>COUNTIF(C2:C11,"Electronics")</f>
        <v>4</v>
      </c>
    </row>
    <row r="3">
      <c r="A3" s="9">
        <v>1002.0</v>
      </c>
      <c r="B3" s="11" t="s">
        <v>17</v>
      </c>
      <c r="C3" s="11" t="s">
        <v>18</v>
      </c>
      <c r="D3" s="11" t="s">
        <v>16</v>
      </c>
      <c r="E3" s="9">
        <v>1.0</v>
      </c>
      <c r="F3" s="13">
        <v>15000.0</v>
      </c>
      <c r="G3" s="14" t="str">
        <f t="shared" si="1"/>
        <v>Low</v>
      </c>
    </row>
    <row r="4">
      <c r="A4" s="9">
        <v>1009.0</v>
      </c>
      <c r="B4" s="11" t="s">
        <v>19</v>
      </c>
      <c r="C4" s="11" t="s">
        <v>15</v>
      </c>
      <c r="D4" s="11" t="s">
        <v>20</v>
      </c>
      <c r="E4" s="9">
        <v>3.0</v>
      </c>
      <c r="F4" s="13">
        <v>16000.0</v>
      </c>
      <c r="G4" s="14" t="str">
        <f t="shared" si="1"/>
        <v>Low</v>
      </c>
      <c r="I4" s="7" t="s">
        <v>40</v>
      </c>
    </row>
    <row r="5">
      <c r="A5" s="9">
        <v>1006.0</v>
      </c>
      <c r="B5" s="11" t="s">
        <v>21</v>
      </c>
      <c r="C5" s="11" t="s">
        <v>18</v>
      </c>
      <c r="D5" s="11" t="s">
        <v>22</v>
      </c>
      <c r="E5" s="9">
        <v>1.0</v>
      </c>
      <c r="F5" s="13">
        <v>18000.0</v>
      </c>
      <c r="G5" s="14" t="str">
        <f t="shared" si="1"/>
        <v>Low</v>
      </c>
      <c r="I5" s="14">
        <f>SUMIF(C2:C11,"Electronics",F2:F11)</f>
        <v>110000</v>
      </c>
    </row>
    <row r="6">
      <c r="A6" s="9">
        <v>1007.0</v>
      </c>
      <c r="B6" s="11" t="s">
        <v>23</v>
      </c>
      <c r="C6" s="11" t="s">
        <v>15</v>
      </c>
      <c r="D6" s="11" t="s">
        <v>20</v>
      </c>
      <c r="E6" s="9">
        <v>5.0</v>
      </c>
      <c r="F6" s="13">
        <v>20000.0</v>
      </c>
      <c r="G6" s="14" t="str">
        <f t="shared" si="1"/>
        <v>High</v>
      </c>
    </row>
    <row r="7">
      <c r="A7" s="9">
        <v>1008.0</v>
      </c>
      <c r="B7" s="11" t="s">
        <v>25</v>
      </c>
      <c r="C7" s="11" t="s">
        <v>26</v>
      </c>
      <c r="D7" s="11" t="s">
        <v>16</v>
      </c>
      <c r="E7" s="9">
        <v>1.0</v>
      </c>
      <c r="F7" s="13">
        <v>22000.0</v>
      </c>
      <c r="G7" s="14" t="str">
        <f t="shared" si="1"/>
        <v>High</v>
      </c>
    </row>
    <row r="8">
      <c r="A8" s="9">
        <v>1001.0</v>
      </c>
      <c r="B8" s="11" t="s">
        <v>27</v>
      </c>
      <c r="C8" s="11" t="s">
        <v>26</v>
      </c>
      <c r="D8" s="11" t="s">
        <v>22</v>
      </c>
      <c r="E8" s="9">
        <v>2.0</v>
      </c>
      <c r="F8" s="13">
        <v>24000.0</v>
      </c>
      <c r="G8" s="14" t="str">
        <f t="shared" si="1"/>
        <v>High</v>
      </c>
    </row>
    <row r="9">
      <c r="A9" s="9">
        <v>1005.0</v>
      </c>
      <c r="B9" s="11" t="s">
        <v>28</v>
      </c>
      <c r="C9" s="11" t="s">
        <v>26</v>
      </c>
      <c r="D9" s="11" t="s">
        <v>29</v>
      </c>
      <c r="E9" s="9">
        <v>2.0</v>
      </c>
      <c r="F9" s="13">
        <v>28000.0</v>
      </c>
      <c r="G9" s="14" t="str">
        <f t="shared" si="1"/>
        <v>High</v>
      </c>
    </row>
    <row r="10">
      <c r="A10" s="9">
        <v>1003.0</v>
      </c>
      <c r="B10" s="11" t="s">
        <v>30</v>
      </c>
      <c r="C10" s="11" t="s">
        <v>26</v>
      </c>
      <c r="D10" s="11" t="s">
        <v>20</v>
      </c>
      <c r="E10" s="9">
        <v>3.0</v>
      </c>
      <c r="F10" s="13">
        <v>36000.0</v>
      </c>
      <c r="G10" s="14" t="str">
        <f t="shared" si="1"/>
        <v>High</v>
      </c>
    </row>
    <row r="11">
      <c r="A11" s="9">
        <v>1010.0</v>
      </c>
      <c r="B11" s="11" t="s">
        <v>33</v>
      </c>
      <c r="C11" s="11" t="s">
        <v>18</v>
      </c>
      <c r="D11" s="11" t="s">
        <v>22</v>
      </c>
      <c r="E11" s="9">
        <v>4.0</v>
      </c>
      <c r="F11" s="13">
        <v>50000.0</v>
      </c>
      <c r="G11" s="14" t="str">
        <f t="shared" si="1"/>
        <v>High</v>
      </c>
    </row>
  </sheetData>
  <conditionalFormatting sqref="F2:F11">
    <cfRule type="cellIs" dxfId="0" priority="1" operator="greaterThan">
      <formula>25000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8" max="8" width="22.13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1</v>
      </c>
      <c r="F1" s="1" t="s">
        <v>8</v>
      </c>
      <c r="G1" s="1" t="s">
        <v>9</v>
      </c>
      <c r="H1" s="5" t="s">
        <v>10</v>
      </c>
    </row>
    <row r="2">
      <c r="A2" s="7">
        <v>1001.0</v>
      </c>
      <c r="B2" s="7" t="s">
        <v>12</v>
      </c>
      <c r="C2" s="7">
        <v>2.0</v>
      </c>
      <c r="D2" s="14" t="str">
        <f t="shared" ref="D2:D6" si="1">VLOOKUP(B2,$E$2:$G$6,2,FALSE)</f>
        <v>Laptop</v>
      </c>
      <c r="E2" s="7" t="s">
        <v>12</v>
      </c>
      <c r="F2" s="7" t="s">
        <v>24</v>
      </c>
      <c r="G2" s="7">
        <v>55000.0</v>
      </c>
      <c r="H2" s="14" t="str">
        <f t="shared" ref="H2:H6" si="2">_xlfn.XLOOKUP(B2,$E$2:$E$6,$F$2:$F$6)</f>
        <v>Laptop</v>
      </c>
    </row>
    <row r="3">
      <c r="A3" s="7">
        <v>1002.0</v>
      </c>
      <c r="B3" s="7" t="s">
        <v>31</v>
      </c>
      <c r="C3" s="7">
        <v>1.0</v>
      </c>
      <c r="D3" s="14" t="str">
        <f t="shared" si="1"/>
        <v>Chair</v>
      </c>
      <c r="E3" s="7" t="s">
        <v>31</v>
      </c>
      <c r="F3" s="7" t="s">
        <v>32</v>
      </c>
      <c r="G3" s="7">
        <v>8000.0</v>
      </c>
      <c r="H3" s="14" t="str">
        <f t="shared" si="2"/>
        <v>Chair</v>
      </c>
    </row>
    <row r="4">
      <c r="A4" s="7">
        <v>1003.0</v>
      </c>
      <c r="B4" s="7" t="s">
        <v>34</v>
      </c>
      <c r="C4" s="7">
        <v>3.0</v>
      </c>
      <c r="D4" s="14" t="str">
        <f t="shared" si="1"/>
        <v>Keyboard</v>
      </c>
      <c r="E4" s="7" t="s">
        <v>34</v>
      </c>
      <c r="F4" s="7" t="s">
        <v>35</v>
      </c>
      <c r="G4" s="7">
        <v>2500.0</v>
      </c>
      <c r="H4" s="14" t="str">
        <f t="shared" si="2"/>
        <v>Keyboard</v>
      </c>
    </row>
    <row r="5">
      <c r="A5" s="7">
        <v>1004.0</v>
      </c>
      <c r="B5" s="7" t="s">
        <v>36</v>
      </c>
      <c r="C5" s="7">
        <v>4.0</v>
      </c>
      <c r="D5" s="14" t="str">
        <f t="shared" si="1"/>
        <v>T-Shirt</v>
      </c>
      <c r="E5" s="7" t="s">
        <v>36</v>
      </c>
      <c r="F5" s="7" t="s">
        <v>37</v>
      </c>
      <c r="G5" s="7">
        <v>1200.0</v>
      </c>
      <c r="H5" s="14" t="str">
        <f t="shared" si="2"/>
        <v>T-Shirt</v>
      </c>
    </row>
    <row r="6">
      <c r="A6" s="7">
        <v>1005.0</v>
      </c>
      <c r="B6" s="7" t="s">
        <v>38</v>
      </c>
      <c r="C6" s="7">
        <v>2.0</v>
      </c>
      <c r="D6" s="14" t="str">
        <f t="shared" si="1"/>
        <v>Headphones</v>
      </c>
      <c r="E6" s="7" t="s">
        <v>38</v>
      </c>
      <c r="F6" s="7" t="s">
        <v>39</v>
      </c>
      <c r="G6" s="7">
        <v>3000.0</v>
      </c>
      <c r="H6" s="14" t="str">
        <f t="shared" si="2"/>
        <v>Headphones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4</v>
      </c>
      <c r="C1" s="2" t="s">
        <v>5</v>
      </c>
      <c r="D1" s="2" t="s">
        <v>6</v>
      </c>
      <c r="E1" s="2" t="s">
        <v>2</v>
      </c>
      <c r="F1" s="2" t="s">
        <v>7</v>
      </c>
      <c r="G1" s="6" t="s">
        <v>11</v>
      </c>
    </row>
    <row r="2">
      <c r="A2" s="9">
        <v>1004.0</v>
      </c>
      <c r="B2" s="11" t="s">
        <v>14</v>
      </c>
      <c r="C2" s="11" t="s">
        <v>15</v>
      </c>
      <c r="D2" s="11" t="s">
        <v>16</v>
      </c>
      <c r="E2" s="9">
        <v>4.0</v>
      </c>
      <c r="F2" s="13">
        <v>12000.0</v>
      </c>
      <c r="G2" s="14" t="str">
        <f t="shared" ref="G2:G11" si="1">IF(F2&gt;=20000,"High","Low")</f>
        <v>Low</v>
      </c>
    </row>
    <row r="3">
      <c r="A3" s="9">
        <v>1002.0</v>
      </c>
      <c r="B3" s="11" t="s">
        <v>17</v>
      </c>
      <c r="C3" s="11" t="s">
        <v>18</v>
      </c>
      <c r="D3" s="11" t="s">
        <v>16</v>
      </c>
      <c r="E3" s="9">
        <v>1.0</v>
      </c>
      <c r="F3" s="13">
        <v>15000.0</v>
      </c>
      <c r="G3" s="14" t="str">
        <f t="shared" si="1"/>
        <v>Low</v>
      </c>
    </row>
    <row r="4">
      <c r="A4" s="9">
        <v>1009.0</v>
      </c>
      <c r="B4" s="11" t="s">
        <v>19</v>
      </c>
      <c r="C4" s="11" t="s">
        <v>15</v>
      </c>
      <c r="D4" s="11" t="s">
        <v>20</v>
      </c>
      <c r="E4" s="9">
        <v>3.0</v>
      </c>
      <c r="F4" s="13">
        <v>16000.0</v>
      </c>
      <c r="G4" s="14" t="str">
        <f t="shared" si="1"/>
        <v>Low</v>
      </c>
    </row>
    <row r="5">
      <c r="A5" s="9">
        <v>1006.0</v>
      </c>
      <c r="B5" s="11" t="s">
        <v>21</v>
      </c>
      <c r="C5" s="11" t="s">
        <v>18</v>
      </c>
      <c r="D5" s="11" t="s">
        <v>22</v>
      </c>
      <c r="E5" s="9">
        <v>1.0</v>
      </c>
      <c r="F5" s="13">
        <v>18000.0</v>
      </c>
      <c r="G5" s="14" t="str">
        <f t="shared" si="1"/>
        <v>Low</v>
      </c>
    </row>
    <row r="6">
      <c r="A6" s="9">
        <v>1007.0</v>
      </c>
      <c r="B6" s="11" t="s">
        <v>23</v>
      </c>
      <c r="C6" s="11" t="s">
        <v>15</v>
      </c>
      <c r="D6" s="11" t="s">
        <v>20</v>
      </c>
      <c r="E6" s="9">
        <v>5.0</v>
      </c>
      <c r="F6" s="13">
        <v>20000.0</v>
      </c>
      <c r="G6" s="14" t="str">
        <f t="shared" si="1"/>
        <v>High</v>
      </c>
    </row>
    <row r="7">
      <c r="A7" s="9">
        <v>1008.0</v>
      </c>
      <c r="B7" s="11" t="s">
        <v>25</v>
      </c>
      <c r="C7" s="11" t="s">
        <v>26</v>
      </c>
      <c r="D7" s="11" t="s">
        <v>16</v>
      </c>
      <c r="E7" s="9">
        <v>1.0</v>
      </c>
      <c r="F7" s="13">
        <v>22000.0</v>
      </c>
      <c r="G7" s="14" t="str">
        <f t="shared" si="1"/>
        <v>High</v>
      </c>
    </row>
    <row r="8">
      <c r="A8" s="9">
        <v>1001.0</v>
      </c>
      <c r="B8" s="11" t="s">
        <v>27</v>
      </c>
      <c r="C8" s="11" t="s">
        <v>26</v>
      </c>
      <c r="D8" s="11" t="s">
        <v>22</v>
      </c>
      <c r="E8" s="9">
        <v>2.0</v>
      </c>
      <c r="F8" s="13">
        <v>24000.0</v>
      </c>
      <c r="G8" s="14" t="str">
        <f t="shared" si="1"/>
        <v>High</v>
      </c>
    </row>
    <row r="9">
      <c r="A9" s="9">
        <v>1005.0</v>
      </c>
      <c r="B9" s="11" t="s">
        <v>28</v>
      </c>
      <c r="C9" s="11" t="s">
        <v>26</v>
      </c>
      <c r="D9" s="11" t="s">
        <v>29</v>
      </c>
      <c r="E9" s="9">
        <v>2.0</v>
      </c>
      <c r="F9" s="13">
        <v>28000.0</v>
      </c>
      <c r="G9" s="14" t="str">
        <f t="shared" si="1"/>
        <v>High</v>
      </c>
    </row>
    <row r="10">
      <c r="A10" s="9">
        <v>1003.0</v>
      </c>
      <c r="B10" s="11" t="s">
        <v>30</v>
      </c>
      <c r="C10" s="11" t="s">
        <v>26</v>
      </c>
      <c r="D10" s="11" t="s">
        <v>20</v>
      </c>
      <c r="E10" s="9">
        <v>3.0</v>
      </c>
      <c r="F10" s="13">
        <v>36000.0</v>
      </c>
      <c r="G10" s="14" t="str">
        <f t="shared" si="1"/>
        <v>High</v>
      </c>
    </row>
    <row r="11">
      <c r="A11" s="9">
        <v>1010.0</v>
      </c>
      <c r="B11" s="11" t="s">
        <v>33</v>
      </c>
      <c r="C11" s="11" t="s">
        <v>18</v>
      </c>
      <c r="D11" s="11" t="s">
        <v>22</v>
      </c>
      <c r="E11" s="9">
        <v>4.0</v>
      </c>
      <c r="F11" s="13">
        <v>50000.0</v>
      </c>
      <c r="G11" s="14" t="str">
        <f t="shared" si="1"/>
        <v>High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